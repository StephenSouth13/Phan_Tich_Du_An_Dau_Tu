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EH\Phan_Tich_Du_An_Dau_Tu\Buoi_4.2\"/>
    </mc:Choice>
  </mc:AlternateContent>
  <bookViews>
    <workbookView xWindow="0" yWindow="0" windowWidth="23040" windowHeight="8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5" i="1"/>
  <c r="B7" i="1"/>
  <c r="B10" i="1"/>
  <c r="G8" i="1"/>
  <c r="H8" i="1"/>
  <c r="I8" i="1"/>
  <c r="B8" i="1"/>
  <c r="C7" i="1"/>
  <c r="C8" i="1" s="1"/>
  <c r="D7" i="1"/>
  <c r="D8" i="1" s="1"/>
  <c r="E7" i="1"/>
  <c r="E8" i="1" s="1"/>
  <c r="F7" i="1"/>
  <c r="F8" i="1" s="1"/>
  <c r="G7" i="1"/>
  <c r="H7" i="1"/>
  <c r="I7" i="1"/>
  <c r="B9" i="1" l="1"/>
</calcChain>
</file>

<file path=xl/sharedStrings.xml><?xml version="1.0" encoding="utf-8"?>
<sst xmlns="http://schemas.openxmlformats.org/spreadsheetml/2006/main" count="20" uniqueCount="14">
  <si>
    <t>BUỔI 4</t>
  </si>
  <si>
    <t>wacc</t>
  </si>
  <si>
    <t>Các chỉ tiêu</t>
  </si>
  <si>
    <t xml:space="preserve">Năm </t>
  </si>
  <si>
    <t>NCF</t>
  </si>
  <si>
    <t>NPV</t>
  </si>
  <si>
    <t>Hệ số chiết khấu</t>
  </si>
  <si>
    <t>CÔNG THỨC</t>
  </si>
  <si>
    <t>PV(NCF)</t>
  </si>
  <si>
    <t>1/(1+R)^t</t>
  </si>
  <si>
    <t>&lt;=1</t>
  </si>
  <si>
    <t>(Nếu bắt đầu từ năm )</t>
  </si>
  <si>
    <t>Tính NPV</t>
  </si>
  <si>
    <t>Cách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</si>
</sst>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A17" sqref="A17"/>
    </sheetView>
  </sheetViews>
  <sheetFormatPr defaultRowHeight="14.4" x14ac:dyDescent="0.55000000000000004"/>
  <cols>
    <col min="1" max="1" width="18.83984375" customWidth="1"/>
    <col min="2" max="3" width="10.3671875" customWidth="1"/>
    <col min="12" max="12" width="16.1015625" customWidth="1"/>
  </cols>
  <sheetData>
    <row r="1" spans="1:15" ht="18.3" x14ac:dyDescent="0.7">
      <c r="A1" s="3" t="s">
        <v>0</v>
      </c>
      <c r="B1" s="1" t="s">
        <v>2</v>
      </c>
    </row>
    <row r="2" spans="1:15" ht="18.3" x14ac:dyDescent="0.7">
      <c r="A2" s="3"/>
      <c r="B2" s="1"/>
    </row>
    <row r="3" spans="1:15" x14ac:dyDescent="0.55000000000000004">
      <c r="A3" s="1" t="s">
        <v>12</v>
      </c>
      <c r="B3" s="1"/>
      <c r="L3" t="s">
        <v>7</v>
      </c>
    </row>
    <row r="4" spans="1:15" ht="14.7" thickBot="1" x14ac:dyDescent="0.6">
      <c r="A4" s="6" t="s">
        <v>1</v>
      </c>
      <c r="B4" s="4">
        <v>0.14000000000000001</v>
      </c>
      <c r="L4" t="s">
        <v>6</v>
      </c>
      <c r="M4" t="s">
        <v>9</v>
      </c>
      <c r="N4" t="s">
        <v>10</v>
      </c>
      <c r="O4" t="s">
        <v>11</v>
      </c>
    </row>
    <row r="5" spans="1:15" ht="15" thickTop="1" thickBot="1" x14ac:dyDescent="0.6">
      <c r="A5" s="7" t="s">
        <v>3</v>
      </c>
      <c r="B5" s="5">
        <v>0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</row>
    <row r="6" spans="1:15" ht="15" thickTop="1" thickBot="1" x14ac:dyDescent="0.6">
      <c r="A6" s="7" t="s">
        <v>4</v>
      </c>
      <c r="B6" s="5">
        <v>-2500</v>
      </c>
      <c r="C6" s="5">
        <v>-5200</v>
      </c>
      <c r="D6" s="5">
        <v>2300</v>
      </c>
      <c r="E6" s="5">
        <v>3200</v>
      </c>
      <c r="F6" s="5">
        <v>3800</v>
      </c>
      <c r="G6" s="5">
        <v>5000</v>
      </c>
      <c r="H6" s="5">
        <v>5500</v>
      </c>
      <c r="I6" s="5">
        <v>6000</v>
      </c>
    </row>
    <row r="7" spans="1:15" ht="15" thickTop="1" thickBot="1" x14ac:dyDescent="0.6">
      <c r="A7" s="7" t="s">
        <v>6</v>
      </c>
      <c r="B7" s="5">
        <f>1/(1+$B$4)^B5</f>
        <v>1</v>
      </c>
      <c r="C7" s="5">
        <f t="shared" ref="C7:I7" si="0">1/(1+$B$4)^C5</f>
        <v>0.8771929824561403</v>
      </c>
      <c r="D7" s="5">
        <f t="shared" si="0"/>
        <v>0.76946752847029842</v>
      </c>
      <c r="E7" s="5">
        <f t="shared" si="0"/>
        <v>0.67497151620201612</v>
      </c>
      <c r="F7" s="5">
        <f t="shared" si="0"/>
        <v>0.59208027737018942</v>
      </c>
      <c r="G7" s="5">
        <f t="shared" si="0"/>
        <v>0.51936866435981521</v>
      </c>
      <c r="H7" s="5">
        <f t="shared" si="0"/>
        <v>0.45558654768404844</v>
      </c>
      <c r="I7" s="5">
        <f t="shared" si="0"/>
        <v>0.39963732252986695</v>
      </c>
    </row>
    <row r="8" spans="1:15" ht="15" thickTop="1" thickBot="1" x14ac:dyDescent="0.6">
      <c r="A8" s="7" t="s">
        <v>8</v>
      </c>
      <c r="B8" s="5">
        <f>B6 *B7</f>
        <v>-2500</v>
      </c>
      <c r="C8" s="5">
        <f t="shared" ref="C8:I8" si="1">C6 *C7</f>
        <v>-4561.4035087719294</v>
      </c>
      <c r="D8" s="5">
        <f t="shared" si="1"/>
        <v>1769.7753154816864</v>
      </c>
      <c r="E8" s="5">
        <f t="shared" si="1"/>
        <v>2159.9088518464514</v>
      </c>
      <c r="F8" s="5">
        <f t="shared" si="1"/>
        <v>2249.9050540067196</v>
      </c>
      <c r="G8" s="5">
        <f t="shared" si="1"/>
        <v>2596.843321799076</v>
      </c>
      <c r="H8" s="5">
        <f t="shared" si="1"/>
        <v>2505.7260122622665</v>
      </c>
      <c r="I8" s="5">
        <f t="shared" si="1"/>
        <v>2397.8239351792017</v>
      </c>
    </row>
    <row r="9" spans="1:15" ht="15" thickTop="1" thickBot="1" x14ac:dyDescent="0.6">
      <c r="A9" s="8" t="s">
        <v>5</v>
      </c>
      <c r="B9" s="5">
        <f>SUM(B8:I8)</f>
        <v>6618.5789818034718</v>
      </c>
    </row>
    <row r="10" spans="1:15" ht="15" thickTop="1" thickBot="1" x14ac:dyDescent="0.6">
      <c r="A10" s="8" t="s">
        <v>5</v>
      </c>
      <c r="B10" s="5">
        <f>NPV(B4,C6:I6)+B6</f>
        <v>6618.5789818034737</v>
      </c>
    </row>
    <row r="11" spans="1:15" s="2" customFormat="1" ht="14.7" thickTop="1" x14ac:dyDescent="0.55000000000000004">
      <c r="A11" s="2" t="s">
        <v>13</v>
      </c>
    </row>
    <row r="12" spans="1:15" ht="14.7" thickBot="1" x14ac:dyDescent="0.6">
      <c r="A12" s="6" t="s">
        <v>1</v>
      </c>
      <c r="B12" s="4">
        <v>0.14000000000000001</v>
      </c>
    </row>
    <row r="13" spans="1:15" ht="15" thickTop="1" thickBot="1" x14ac:dyDescent="0.6">
      <c r="A13" s="7" t="s">
        <v>3</v>
      </c>
      <c r="B13" s="5">
        <v>0</v>
      </c>
      <c r="C13" s="5">
        <v>1</v>
      </c>
      <c r="D13" s="5">
        <v>2</v>
      </c>
      <c r="E13" s="5">
        <v>3</v>
      </c>
      <c r="F13" s="5">
        <v>4</v>
      </c>
      <c r="G13" s="5">
        <v>5</v>
      </c>
      <c r="H13" s="5">
        <v>6</v>
      </c>
      <c r="I13" s="5">
        <v>7</v>
      </c>
    </row>
    <row r="14" spans="1:15" ht="15" thickTop="1" thickBot="1" x14ac:dyDescent="0.6">
      <c r="A14" s="7" t="s">
        <v>4</v>
      </c>
      <c r="B14" s="5">
        <v>-2500</v>
      </c>
      <c r="C14" s="5">
        <v>-5200</v>
      </c>
      <c r="D14" s="5">
        <v>2300</v>
      </c>
      <c r="E14" s="5">
        <v>3200</v>
      </c>
      <c r="F14" s="5">
        <v>3800</v>
      </c>
      <c r="G14" s="5">
        <v>5000</v>
      </c>
      <c r="H14" s="5">
        <v>5500</v>
      </c>
      <c r="I14" s="5">
        <v>6000</v>
      </c>
    </row>
    <row r="15" spans="1:15" ht="15" thickTop="1" thickBot="1" x14ac:dyDescent="0.6">
      <c r="A15" s="8" t="s">
        <v>5</v>
      </c>
      <c r="B15" s="5">
        <f>NPV(B12,C14:I14)+B14</f>
        <v>6618.5789818034737</v>
      </c>
      <c r="C15" s="5">
        <f>NPV(B4,C6:I6)+B6</f>
        <v>6618.5789818034737</v>
      </c>
    </row>
    <row r="16" spans="1:15" s="2" customFormat="1" ht="14.7" thickTop="1" x14ac:dyDescent="0.55000000000000004">
      <c r="B1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2025-11-12T11:25:38Z</dcterms:created>
  <dcterms:modified xsi:type="dcterms:W3CDTF">2025-11-12T12:07:09Z</dcterms:modified>
</cp:coreProperties>
</file>